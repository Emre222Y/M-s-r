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<sst xmlns="http://schemas.openxmlformats.org/spreadsheetml/2006/main" count="20" uniqueCount="20">
  <si>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r>
      <rPr>
        <sz val="12"/>
        <rFont val="Calibri"/>
        <charset val="134"/>
      </rPr>
      <t>Günlük Sıcaklık ortalamaları, °C</t>
    </r>
  </si>
  <si>
    <r>
      <rPr>
        <sz val="12"/>
        <rFont val="Calibri"/>
        <charset val="134"/>
      </rPr>
      <t>Gün</t>
    </r>
  </si>
  <si>
    <r>
      <rPr>
        <sz val="12"/>
        <rFont val="Calibri"/>
        <charset val="134"/>
      </rPr>
      <t>Mart</t>
    </r>
  </si>
  <si>
    <r>
      <rPr>
        <sz val="12"/>
        <rFont val="Calibri"/>
        <charset val="134"/>
      </rPr>
      <t>Nisan</t>
    </r>
  </si>
  <si>
    <r>
      <rPr>
        <sz val="12"/>
        <rFont val="Calibri"/>
        <charset val="134"/>
      </rPr>
      <t>Mayıs</t>
    </r>
  </si>
  <si>
    <r>
      <rPr>
        <sz val="12"/>
        <rFont val="Calibri"/>
        <charset val="134"/>
      </rPr>
      <t>Haziran</t>
    </r>
  </si>
  <si>
    <r>
      <rPr>
        <sz val="12"/>
        <rFont val="Calibri"/>
        <charset val="134"/>
      </rPr>
      <t>Temmuz</t>
    </r>
  </si>
  <si>
    <r>
      <rPr>
        <sz val="12"/>
        <rFont val="Calibri"/>
        <charset val="134"/>
      </rPr>
      <t>Ağustos</t>
    </r>
  </si>
  <si>
    <r>
      <rPr>
        <sz val="12"/>
        <rFont val="Calibri"/>
        <charset val="134"/>
      </rPr>
      <t>Eylül</t>
    </r>
  </si>
  <si>
    <r>
      <rPr>
        <sz val="12"/>
        <rFont val="Calibri"/>
        <charset val="134"/>
      </rPr>
      <t>Ekim</t>
    </r>
  </si>
  <si>
    <t>Nisan</t>
  </si>
  <si>
    <t>Mayıs</t>
  </si>
  <si>
    <t>Haziran</t>
  </si>
  <si>
    <t>Temmuz</t>
  </si>
  <si>
    <t>Ağustos</t>
  </si>
  <si>
    <t>Birikimli</t>
  </si>
  <si>
    <t>Soru :</t>
  </si>
  <si>
    <t>Herhangi bir bitkinin belirli bir gelişme evresini tamamlaması için belli bir sıcaklık 
toplamına ihtiyaç vardır. Bu ihtiyacı karşılamak için, belirli bir temel sıcaklığın (eşik 
sıcaklık) üzerindeki günlük sıcaklık derecelerinin toplamı alınmaktadır ve birimi 
“büyüme derece-gün” dür. Faklı mısır bitkisi çeşitleri için, hasat olgunluğu için gerekli 
bilgiler isminizin yanında verilmiştir. Mısır bitkisi için size ayrı ayrı verilen bilgileri 
kullanarak hangi tarihte hasat olgunluğuna ulaşılacağını Büyüme derece gün yöntemine 
göre bulunuz. Günlük sıcaklık ortalamaları aşağıda verilmiştir. Sorunun cevabını 1. 
Sorunun altına yazabilirsiniz</t>
  </si>
  <si>
    <t xml:space="preserve">&lt;-Cevap </t>
  </si>
  <si>
    <t>2. Sorunun cevabı: 18 Ağustos. 10 Nisan'dan itibaren günlük ortalama sıcaklıktan 10 °C çıkarılarak toplandı (10 °C altı 0 sayıldı). Birikimli toplam 17 Ağustos'ta 1326, 18 Ağustos'ta 1340 olduğundan 1330 değerine 18 Ağustos'ta ulaşıldı.</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</si>
</sst>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26" formatCode="General"/>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_ "/>
  </numFmts>
  <fonts count="23">
    <font>
      <sz val="11"/>
      <color rgb="FF000000"/>
      <name val="Arial"/>
      <charset val="204"/>
    </font>
    <font>
      <sz val="12"/>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26"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26" fontId="3" fillId="0" borderId="0" applyNumberFormat="0" applyFill="0" applyBorder="0" applyAlignment="0" applyProtection="0">
      <alignment vertical="center"/>
    </xf>
    <xf numFmtId="26" fontId="4" fillId="0" borderId="0" applyNumberFormat="0" applyFill="0" applyBorder="0" applyAlignment="0" applyProtection="0">
      <alignment vertical="center"/>
    </xf>
    <xf numFmtId="26" fontId="2" fillId="2" borderId="2" applyNumberFormat="0" applyFont="0" applyAlignment="0" applyProtection="0">
      <alignment vertical="center"/>
    </xf>
    <xf numFmtId="26" fontId="5" fillId="0" borderId="0" applyNumberFormat="0" applyFill="0" applyBorder="0" applyAlignment="0" applyProtection="0">
      <alignment vertical="center"/>
    </xf>
    <xf numFmtId="26" fontId="6" fillId="0" borderId="0" applyNumberFormat="0" applyFill="0" applyBorder="0" applyAlignment="0" applyProtection="0">
      <alignment vertical="center"/>
    </xf>
    <xf numFmtId="26" fontId="7" fillId="0" borderId="0" applyNumberFormat="0" applyFill="0" applyBorder="0" applyAlignment="0" applyProtection="0">
      <alignment vertical="center"/>
    </xf>
    <xf numFmtId="26" fontId="8" fillId="0" borderId="3" applyNumberFormat="0" applyFill="0" applyAlignment="0" applyProtection="0">
      <alignment vertical="center"/>
    </xf>
    <xf numFmtId="26" fontId="9" fillId="0" borderId="3" applyNumberFormat="0" applyFill="0" applyAlignment="0" applyProtection="0">
      <alignment vertical="center"/>
    </xf>
    <xf numFmtId="26" fontId="10" fillId="0" borderId="4" applyNumberFormat="0" applyFill="0" applyAlignment="0" applyProtection="0">
      <alignment vertical="center"/>
    </xf>
    <xf numFmtId="26" fontId="10" fillId="0" borderId="0" applyNumberFormat="0" applyFill="0" applyBorder="0" applyAlignment="0" applyProtection="0">
      <alignment vertical="center"/>
    </xf>
    <xf numFmtId="26" fontId="11" fillId="3" borderId="5" applyNumberFormat="0" applyAlignment="0" applyProtection="0">
      <alignment vertical="center"/>
    </xf>
    <xf numFmtId="26" fontId="12" fillId="4" borderId="6" applyNumberFormat="0" applyAlignment="0" applyProtection="0">
      <alignment vertical="center"/>
    </xf>
    <xf numFmtId="26" fontId="13" fillId="4" borderId="5" applyNumberFormat="0" applyAlignment="0" applyProtection="0">
      <alignment vertical="center"/>
    </xf>
    <xf numFmtId="26" fontId="14" fillId="5" borderId="7" applyNumberFormat="0" applyAlignment="0" applyProtection="0">
      <alignment vertical="center"/>
    </xf>
    <xf numFmtId="26" fontId="15" fillId="0" borderId="8" applyNumberFormat="0" applyFill="0" applyAlignment="0" applyProtection="0">
      <alignment vertical="center"/>
    </xf>
    <xf numFmtId="26" fontId="16" fillId="0" borderId="9" applyNumberFormat="0" applyFill="0" applyAlignment="0" applyProtection="0">
      <alignment vertical="center"/>
    </xf>
    <xf numFmtId="26" fontId="17" fillId="6" borderId="0" applyNumberFormat="0" applyBorder="0" applyAlignment="0" applyProtection="0">
      <alignment vertical="center"/>
    </xf>
    <xf numFmtId="26" fontId="18" fillId="7" borderId="0" applyNumberFormat="0" applyBorder="0" applyAlignment="0" applyProtection="0">
      <alignment vertical="center"/>
    </xf>
    <xf numFmtId="26" fontId="19" fillId="8" borderId="0" applyNumberFormat="0" applyBorder="0" applyAlignment="0" applyProtection="0">
      <alignment vertical="center"/>
    </xf>
    <xf numFmtId="26" fontId="20" fillId="9" borderId="0" applyNumberFormat="0" applyBorder="0" applyAlignment="0" applyProtection="0">
      <alignment vertical="center"/>
    </xf>
    <xf numFmtId="26" fontId="21" fillId="10" borderId="0" applyNumberFormat="0" applyBorder="0" applyAlignment="0" applyProtection="0">
      <alignment vertical="center"/>
    </xf>
    <xf numFmtId="26" fontId="21" fillId="11" borderId="0" applyNumberFormat="0" applyBorder="0" applyAlignment="0" applyProtection="0">
      <alignment vertical="center"/>
    </xf>
    <xf numFmtId="26" fontId="20" fillId="12" borderId="0" applyNumberFormat="0" applyBorder="0" applyAlignment="0" applyProtection="0">
      <alignment vertical="center"/>
    </xf>
    <xf numFmtId="26" fontId="20" fillId="13" borderId="0" applyNumberFormat="0" applyBorder="0" applyAlignment="0" applyProtection="0">
      <alignment vertical="center"/>
    </xf>
    <xf numFmtId="26" fontId="21" fillId="14" borderId="0" applyNumberFormat="0" applyBorder="0" applyAlignment="0" applyProtection="0">
      <alignment vertical="center"/>
    </xf>
    <xf numFmtId="26" fontId="21" fillId="15" borderId="0" applyNumberFormat="0" applyBorder="0" applyAlignment="0" applyProtection="0">
      <alignment vertical="center"/>
    </xf>
    <xf numFmtId="26" fontId="20" fillId="16" borderId="0" applyNumberFormat="0" applyBorder="0" applyAlignment="0" applyProtection="0">
      <alignment vertical="center"/>
    </xf>
    <xf numFmtId="26" fontId="20" fillId="17" borderId="0" applyNumberFormat="0" applyBorder="0" applyAlignment="0" applyProtection="0">
      <alignment vertical="center"/>
    </xf>
    <xf numFmtId="26" fontId="21" fillId="18" borderId="0" applyNumberFormat="0" applyBorder="0" applyAlignment="0" applyProtection="0">
      <alignment vertical="center"/>
    </xf>
    <xf numFmtId="26" fontId="21" fillId="19" borderId="0" applyNumberFormat="0" applyBorder="0" applyAlignment="0" applyProtection="0">
      <alignment vertical="center"/>
    </xf>
    <xf numFmtId="26" fontId="20" fillId="20" borderId="0" applyNumberFormat="0" applyBorder="0" applyAlignment="0" applyProtection="0">
      <alignment vertical="center"/>
    </xf>
    <xf numFmtId="26" fontId="20" fillId="21" borderId="0" applyNumberFormat="0" applyBorder="0" applyAlignment="0" applyProtection="0">
      <alignment vertical="center"/>
    </xf>
    <xf numFmtId="26" fontId="21" fillId="22" borderId="0" applyNumberFormat="0" applyBorder="0" applyAlignment="0" applyProtection="0">
      <alignment vertical="center"/>
    </xf>
    <xf numFmtId="26" fontId="21" fillId="23" borderId="0" applyNumberFormat="0" applyBorder="0" applyAlignment="0" applyProtection="0">
      <alignment vertical="center"/>
    </xf>
    <xf numFmtId="26" fontId="20" fillId="24" borderId="0" applyNumberFormat="0" applyBorder="0" applyAlignment="0" applyProtection="0">
      <alignment vertical="center"/>
    </xf>
    <xf numFmtId="26" fontId="20" fillId="25" borderId="0" applyNumberFormat="0" applyBorder="0" applyAlignment="0" applyProtection="0">
      <alignment vertical="center"/>
    </xf>
    <xf numFmtId="26" fontId="21" fillId="26" borderId="0" applyNumberFormat="0" applyBorder="0" applyAlignment="0" applyProtection="0">
      <alignment vertical="center"/>
    </xf>
    <xf numFmtId="26" fontId="21" fillId="27" borderId="0" applyNumberFormat="0" applyBorder="0" applyAlignment="0" applyProtection="0">
      <alignment vertical="center"/>
    </xf>
    <xf numFmtId="26" fontId="20" fillId="28" borderId="0" applyNumberFormat="0" applyBorder="0" applyAlignment="0" applyProtection="0">
      <alignment vertical="center"/>
    </xf>
    <xf numFmtId="26" fontId="20" fillId="29" borderId="0" applyNumberFormat="0" applyBorder="0" applyAlignment="0" applyProtection="0">
      <alignment vertical="center"/>
    </xf>
    <xf numFmtId="26" fontId="21" fillId="30" borderId="0" applyNumberFormat="0" applyBorder="0" applyAlignment="0" applyProtection="0">
      <alignment vertical="center"/>
    </xf>
    <xf numFmtId="26" fontId="21" fillId="31" borderId="0" applyNumberFormat="0" applyBorder="0" applyAlignment="0" applyProtection="0">
      <alignment vertical="center"/>
    </xf>
    <xf numFmtId="26" fontId="20" fillId="32" borderId="0" applyNumberFormat="0" applyBorder="0" applyAlignment="0" applyProtection="0">
      <alignment vertical="center"/>
    </xf>
  </cellStyleXfs>
  <cellXfs count="7">
    <xf numFmtId="26" fontId="0" fillId="0" borderId="0" xfId="0" applyFill="1" applyBorder="1" applyAlignment="1">
      <alignment horizontal="left" vertical="top" wrapText="1"/>
    </xf>
    <xf numFmtId="26" fontId="1" fillId="0" borderId="1" xfId="0" applyNumberFormat="1" applyFont="1" applyFill="1" applyBorder="1" applyAlignment="1">
      <alignment horizontal="center" vertical="top" wrapText="1"/>
    </xf>
    <xf numFmtId="26" fontId="0" fillId="0" borderId="1" xfId="0" applyNumberFormat="1" applyFill="1" applyBorder="1" applyAlignment="1">
      <alignment horizontal="center" vertical="top" wrapText="1"/>
    </xf>
    <xf numFmtId="180" fontId="1" fillId="0" borderId="1" xfId="0" applyNumberFormat="1" applyFont="1" applyFill="1" applyBorder="1" applyAlignment="1">
      <alignment horizontal="center" vertical="center" wrapText="1"/>
    </xf>
    <xf numFmtId="26" fontId="0" fillId="0" borderId="0" xfId="0" applyFill="1" applyAlignment="1">
      <alignment horizontal="center" vertical="top" wrapText="1"/>
    </xf>
    <xf numFmtId="26" fontId="0" fillId="0" borderId="0" xfId="0" applyFill="1" applyBorder="1" applyAlignment="1">
      <alignment horizontal="center" vertical="top" wrapText="1"/>
    </xf>
    <xf numFmtId="26" fontId="0" fillId="0" borderId="1" xfId="0" applyNumberFormat="1" applyFill="1" applyBorder="1" applyAlignment="1">
      <alignment horizontal="left" vertical="top" wrapText="1"/>
    </xf>
  </cellXfs>
  <cellStyles count="49">
    <cellStyle name="Normal" xfId="0" builtinId="0"/>
    <cellStyle name="Virgül" xfId="1" builtinId="3"/>
    <cellStyle name="Para Birimi" xfId="2" builtinId="4"/>
    <cellStyle name="Yüzde" xfId="3" builtinId="5"/>
    <cellStyle name="Virgül [0]" xfId="4" builtinId="6"/>
    <cellStyle name="Para Birimi [0]" xfId="5" builtinId="7"/>
    <cellStyle name="Bağlantı" xfId="6" builtinId="8"/>
    <cellStyle name="Takip Edilen Bağlantı" xfId="7" builtinId="9"/>
    <cellStyle name="Not" xfId="8" builtinId="10"/>
    <cellStyle name="Uyarı Metni" xfId="9" builtinId="11"/>
    <cellStyle name="Başlık" xfId="10" builtinId="15"/>
    <cellStyle name="Açıklayıcı Metin" xfId="11" builtinId="53"/>
    <cellStyle name="Başlık 1" xfId="12" builtinId="16"/>
    <cellStyle name="Başlık 2" xfId="13" builtinId="17"/>
    <cellStyle name="Başlık 3" xfId="14" builtinId="18"/>
    <cellStyle name="Başlık 4" xfId="15" builtinId="19"/>
    <cellStyle name="Giriş" xfId="16" builtinId="20"/>
    <cellStyle name="Çıktı" xfId="17" builtinId="21"/>
    <cellStyle name="Hesaplama" xfId="18" builtinId="22"/>
    <cellStyle name="Hücreyi Kontrol Et" xfId="19" builtinId="23"/>
    <cellStyle name="Bağlantılı Hücre" xfId="20" builtinId="24"/>
    <cellStyle name="Toplam" xfId="21" builtinId="25"/>
    <cellStyle name="İyi" xfId="22" builtinId="26"/>
    <cellStyle name="Kötü" xfId="23" builtinId="27"/>
    <cellStyle name="Nötr" xfId="24" builtinId="28"/>
    <cellStyle name="Vurgu1" xfId="25" builtinId="29"/>
    <cellStyle name="20% - Vurgu1" xfId="26" builtinId="30"/>
    <cellStyle name="40% - Vurgu1" xfId="27" builtinId="31"/>
    <cellStyle name="60% - Vurgu1" xfId="28" builtinId="32"/>
    <cellStyle name="Vurgu2" xfId="29" builtinId="33"/>
    <cellStyle name="20% - Vurgu2" xfId="30" builtinId="34"/>
    <cellStyle name="40% - Vurgu2" xfId="31" builtinId="35"/>
    <cellStyle name="60% - Vurgu2" xfId="32" builtinId="36"/>
    <cellStyle name="Vurgu3" xfId="33" builtinId="37"/>
    <cellStyle name="20% - Vurgu3" xfId="34" builtinId="38"/>
    <cellStyle name="40% - Vurgu3" xfId="35" builtinId="39"/>
    <cellStyle name="60% - Vurgu3" xfId="36" builtinId="40"/>
    <cellStyle name="Vurgu4" xfId="37" builtinId="41"/>
    <cellStyle name="20% - Vurgu4" xfId="38" builtinId="42"/>
    <cellStyle name="40% - Vurgu4" xfId="39" builtinId="43"/>
    <cellStyle name="60% - Vurgu4" xfId="40" builtinId="44"/>
    <cellStyle name="Vurgu5" xfId="41" builtinId="45"/>
    <cellStyle name="20% - Vurgu5" xfId="42" builtinId="46"/>
    <cellStyle name="40% - Vurgu5" xfId="43" builtinId="47"/>
    <cellStyle name="60% - Vurgu5" xfId="44" builtinId="48"/>
    <cellStyle name="Vurgu6" xfId="45" builtinId="49"/>
    <cellStyle name="20% - Vurgu6" xfId="46" builtinId="50"/>
    <cellStyle name="40% - Vurgu6" xfId="47" builtinId="51"/>
    <cellStyle name="60% - Vurgu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5"/>
  <sheetViews>
    <sheetView tabSelected="1" zoomScale="90" zoomScaleNormal="90" topLeftCell="A3" workbookViewId="0">
      <selection activeCell="Z17" sqref="Z17"/>
    </sheetView>
  </sheetViews>
  <sheetFormatPr defaultColWidth="9" defaultRowHeight="14.25"/>
  <cols>
    <col min="1" max="1" width="5" customWidth="1"/>
    <col min="2" max="3" width="6" customWidth="1"/>
    <col min="4" max="4" width="7" customWidth="1"/>
    <col min="5" max="5" width="8" customWidth="1"/>
    <col min="6" max="6" width="9" customWidth="1"/>
    <col min="7" max="7" width="8" customWidth="1"/>
    <col min="8" max="9" width="6" customWidth="1"/>
    <col min="10" max="10" width="15" customWidth="1"/>
  </cols>
  <sheetData>
    <row r="1" ht="18" customHeight="1" spans="1:25">
      <c r="A1" s="1" t="s">
        <v>0</v>
      </c>
      <c r="B1" s="2"/>
      <c r="C1" s="2"/>
      <c r="D1" s="2"/>
      <c r="E1" s="2"/>
      <c r="F1" s="2"/>
      <c r="G1" s="2"/>
      <c r="H1" s="2"/>
      <c r="I1" s="2"/>
    </row>
    <row r="2" ht="18" customHeight="1" spans="1:25">
      <c r="A2" s="1" t="s">
        <v>1</v>
      </c>
      <c r="B2" s="1" t="s">
        <v>2</v>
      </c>
      <c r="C2" s="1" t="s">
        <v>3</v>
      </c>
      <c r="D2" s="1" t="s">
        <v>4</v>
      </c>
      <c r="E2" s="1" t="s">
        <v>5</v>
      </c>
      <c r="F2" s="1" t="s">
        <v>6</v>
      </c>
      <c r="G2" s="1" t="s">
        <v>7</v>
      </c>
      <c r="H2" s="1" t="s">
        <v>8</v>
      </c>
      <c r="I2" s="1" t="s">
        <v>9</v>
      </c>
      <c r="K2" t="s">
        <v>10</v>
      </c>
      <c r="L2" t="s">
        <v>11</v>
      </c>
      <c r="M2" t="s">
        <v>12</v>
      </c>
      <c r="N2" t="s">
        <v>13</v>
      </c>
      <c r="O2" t="s">
        <v>14</v>
      </c>
      <c r="P2" t="s">
        <v>15</v>
      </c>
    </row>
    <row r="3" ht="18" customHeight="1" spans="1:25">
      <c r="A3" s="3">
        <v>1</v>
      </c>
      <c r="B3" s="3">
        <v>8</v>
      </c>
      <c r="C3" s="3">
        <v>10</v>
      </c>
      <c r="D3" s="3">
        <v>18</v>
      </c>
      <c r="E3" s="3">
        <v>23</v>
      </c>
      <c r="F3" s="3">
        <v>25</v>
      </c>
      <c r="G3" s="3">
        <v>24</v>
      </c>
      <c r="H3" s="3">
        <v>20</v>
      </c>
      <c r="I3" s="3">
        <v>17</v>
      </c>
      <c r="L3">
        <f>MAX(0,MIN(D3,38)-10)</f>
        <v>8</v>
      </c>
      <c r="M3">
        <f>MAX(0,MIN(E3,38)-10)</f>
        <v>13</v>
      </c>
      <c r="N3">
        <f>MAX(0,MIN(F3,38)-10)</f>
        <v>15</v>
      </c>
      <c r="O3">
        <f>MAX(0,MIN(G3,38)-10)</f>
        <v>14</v>
      </c>
      <c r="P3">
        <f>$P$35+SUM($O$3:O3)</f>
        <v>1133</v>
      </c>
      <c r="Q3" t="s">
        <v>16</v>
      </c>
    </row>
    <row r="4" ht="18" customHeight="1" spans="1:25">
      <c r="A4" s="3">
        <v>2</v>
      </c>
      <c r="B4" s="3">
        <v>9</v>
      </c>
      <c r="C4" s="3">
        <v>20</v>
      </c>
      <c r="D4" s="3">
        <v>20</v>
      </c>
      <c r="E4" s="3">
        <v>22</v>
      </c>
      <c r="F4" s="3">
        <v>24</v>
      </c>
      <c r="G4" s="3">
        <v>25</v>
      </c>
      <c r="H4" s="3">
        <v>17</v>
      </c>
      <c r="I4" s="3">
        <v>17</v>
      </c>
      <c r="L4">
        <f t="shared" ref="L4:L33" si="0">MAX(0,MIN(D4,38)-10)</f>
        <v>10</v>
      </c>
      <c r="M4">
        <f t="shared" ref="M4:M32" si="1">MAX(0,MIN(E4,38)-10)</f>
        <v>12</v>
      </c>
      <c r="N4">
        <f t="shared" ref="N4:N21" si="2">MAX(0,MIN(F4,38)-10)</f>
        <v>14</v>
      </c>
      <c r="O4">
        <f t="shared" ref="O4:O33" si="3">MAX(0,MIN(G4,38)-10)</f>
        <v>15</v>
      </c>
      <c r="P4">
        <f>$P$35+SUM($O$3:O4)</f>
        <v>1148</v>
      </c>
      <c r="Q4" s="4" t="s">
        <v>17</v>
      </c>
      <c r="R4" s="4"/>
      <c r="S4" s="4"/>
      <c r="T4" s="4"/>
      <c r="U4" s="4"/>
      <c r="V4" s="4"/>
      <c r="W4" s="4"/>
      <c r="X4" s="4"/>
      <c r="Y4" s="5"/>
    </row>
    <row r="5" ht="18" customHeight="1" spans="1:25">
      <c r="A5" s="3">
        <v>3</v>
      </c>
      <c r="B5" s="3">
        <v>8</v>
      </c>
      <c r="C5" s="3">
        <v>20</v>
      </c>
      <c r="D5" s="3">
        <v>16</v>
      </c>
      <c r="E5" s="3">
        <v>20</v>
      </c>
      <c r="F5" s="3">
        <v>25</v>
      </c>
      <c r="G5" s="3">
        <v>25</v>
      </c>
      <c r="H5" s="3">
        <v>19</v>
      </c>
      <c r="I5" s="3">
        <v>20</v>
      </c>
      <c r="L5">
        <f t="shared" si="0"/>
        <v>6</v>
      </c>
      <c r="M5">
        <f t="shared" si="1"/>
        <v>10</v>
      </c>
      <c r="N5">
        <f t="shared" si="2"/>
        <v>15</v>
      </c>
      <c r="O5">
        <f t="shared" si="3"/>
        <v>15</v>
      </c>
      <c r="P5">
        <f>$P$35+SUM($O$3:O5)</f>
        <v>1163</v>
      </c>
      <c r="Q5" s="4"/>
      <c r="R5" s="4"/>
      <c r="S5" s="4"/>
      <c r="T5" s="4"/>
      <c r="U5" s="4"/>
      <c r="V5" s="4"/>
      <c r="W5" s="4"/>
      <c r="X5" s="4"/>
      <c r="Y5" s="5"/>
    </row>
    <row r="6" ht="18" customHeight="1" spans="1:25">
      <c r="A6" s="3">
        <v>4</v>
      </c>
      <c r="B6" s="3">
        <v>8</v>
      </c>
      <c r="C6" s="3">
        <v>13</v>
      </c>
      <c r="D6" s="3">
        <v>21</v>
      </c>
      <c r="E6" s="3">
        <v>25</v>
      </c>
      <c r="F6" s="3">
        <v>24</v>
      </c>
      <c r="G6" s="3">
        <v>23</v>
      </c>
      <c r="H6" s="3">
        <v>16</v>
      </c>
      <c r="I6" s="3">
        <v>20</v>
      </c>
      <c r="L6">
        <f t="shared" si="0"/>
        <v>11</v>
      </c>
      <c r="M6">
        <f t="shared" si="1"/>
        <v>15</v>
      </c>
      <c r="N6">
        <f t="shared" si="2"/>
        <v>14</v>
      </c>
      <c r="O6">
        <f t="shared" si="3"/>
        <v>13</v>
      </c>
      <c r="P6">
        <f>$P$35+SUM($O$3:O6)</f>
        <v>1176</v>
      </c>
      <c r="Q6" s="4"/>
      <c r="R6" s="4"/>
      <c r="S6" s="4"/>
      <c r="T6" s="4"/>
      <c r="U6" s="4"/>
      <c r="V6" s="4"/>
      <c r="W6" s="4"/>
      <c r="X6" s="4"/>
      <c r="Y6" s="5"/>
    </row>
    <row r="7" ht="18" customHeight="1" spans="1:25">
      <c r="A7" s="3">
        <v>5</v>
      </c>
      <c r="B7" s="3">
        <v>9</v>
      </c>
      <c r="C7" s="3">
        <v>12</v>
      </c>
      <c r="D7" s="3">
        <v>20</v>
      </c>
      <c r="E7" s="3">
        <v>24</v>
      </c>
      <c r="F7" s="3">
        <v>22</v>
      </c>
      <c r="G7" s="3">
        <v>23</v>
      </c>
      <c r="H7" s="3">
        <v>15</v>
      </c>
      <c r="I7" s="3">
        <v>20</v>
      </c>
      <c r="L7">
        <f t="shared" si="0"/>
        <v>10</v>
      </c>
      <c r="M7">
        <f t="shared" si="1"/>
        <v>14</v>
      </c>
      <c r="N7">
        <f t="shared" si="2"/>
        <v>12</v>
      </c>
      <c r="O7">
        <f t="shared" si="3"/>
        <v>13</v>
      </c>
      <c r="P7">
        <f>$P$35+SUM($O$3:O7)</f>
        <v>1189</v>
      </c>
      <c r="Q7" s="4"/>
      <c r="R7" s="4"/>
      <c r="S7" s="4"/>
      <c r="T7" s="4"/>
      <c r="U7" s="4"/>
      <c r="V7" s="4"/>
      <c r="W7" s="4"/>
      <c r="X7" s="4"/>
      <c r="Y7" s="5"/>
    </row>
    <row r="8" ht="18" customHeight="1" spans="1:25">
      <c r="A8" s="3">
        <v>6</v>
      </c>
      <c r="B8" s="3">
        <v>9</v>
      </c>
      <c r="C8" s="3">
        <v>11</v>
      </c>
      <c r="D8" s="3">
        <v>21</v>
      </c>
      <c r="E8" s="3">
        <v>23</v>
      </c>
      <c r="F8" s="3">
        <v>24</v>
      </c>
      <c r="G8" s="3">
        <v>24</v>
      </c>
      <c r="H8" s="3">
        <v>18</v>
      </c>
      <c r="I8" s="3">
        <v>17</v>
      </c>
      <c r="L8">
        <f t="shared" si="0"/>
        <v>11</v>
      </c>
      <c r="M8">
        <f t="shared" si="1"/>
        <v>13</v>
      </c>
      <c r="N8">
        <f t="shared" si="2"/>
        <v>14</v>
      </c>
      <c r="O8">
        <f t="shared" si="3"/>
        <v>14</v>
      </c>
      <c r="P8">
        <f>$P$35+SUM($O$3:O8)</f>
        <v>1203</v>
      </c>
      <c r="Q8" s="4"/>
      <c r="R8" s="4"/>
      <c r="S8" s="4"/>
      <c r="T8" s="4"/>
      <c r="U8" s="4"/>
      <c r="V8" s="4"/>
      <c r="W8" s="4"/>
      <c r="X8" s="4"/>
      <c r="Y8" s="5"/>
    </row>
    <row r="9" ht="18" customHeight="1" spans="1:25">
      <c r="A9" s="3">
        <v>7</v>
      </c>
      <c r="B9" s="3">
        <v>10</v>
      </c>
      <c r="C9" s="3">
        <v>11</v>
      </c>
      <c r="D9" s="3">
        <v>19</v>
      </c>
      <c r="E9" s="3">
        <v>20</v>
      </c>
      <c r="F9" s="3">
        <v>20</v>
      </c>
      <c r="G9" s="3">
        <v>21</v>
      </c>
      <c r="H9" s="3">
        <v>17</v>
      </c>
      <c r="I9" s="3">
        <v>20</v>
      </c>
      <c r="L9">
        <f t="shared" si="0"/>
        <v>9</v>
      </c>
      <c r="M9">
        <f t="shared" si="1"/>
        <v>10</v>
      </c>
      <c r="N9">
        <f t="shared" si="2"/>
        <v>10</v>
      </c>
      <c r="O9">
        <f t="shared" si="3"/>
        <v>11</v>
      </c>
      <c r="P9">
        <f>$P$35+SUM($O$3:O9)</f>
        <v>1214</v>
      </c>
      <c r="Q9" s="4"/>
      <c r="R9" s="4"/>
      <c r="S9" s="4"/>
      <c r="T9" s="4"/>
      <c r="U9" s="4"/>
      <c r="V9" s="4"/>
      <c r="W9" s="4"/>
      <c r="X9" s="4"/>
      <c r="Y9" s="5"/>
    </row>
    <row r="10" ht="18" customHeight="1" spans="1:25">
      <c r="A10" s="3">
        <v>8</v>
      </c>
      <c r="B10" s="3">
        <v>9</v>
      </c>
      <c r="C10" s="3">
        <v>17</v>
      </c>
      <c r="D10" s="3">
        <v>24</v>
      </c>
      <c r="E10" s="3">
        <v>20</v>
      </c>
      <c r="F10" s="3">
        <v>23</v>
      </c>
      <c r="G10" s="3">
        <v>23</v>
      </c>
      <c r="H10" s="3">
        <v>19</v>
      </c>
      <c r="I10" s="3">
        <v>19</v>
      </c>
      <c r="L10">
        <f t="shared" si="0"/>
        <v>14</v>
      </c>
      <c r="M10">
        <f t="shared" si="1"/>
        <v>10</v>
      </c>
      <c r="N10">
        <f t="shared" si="2"/>
        <v>13</v>
      </c>
      <c r="O10">
        <f t="shared" si="3"/>
        <v>13</v>
      </c>
      <c r="P10">
        <f>$P$35+SUM($O$3:O10)</f>
        <v>1227</v>
      </c>
      <c r="Q10" s="4"/>
      <c r="R10" s="4"/>
      <c r="S10" s="4"/>
      <c r="T10" s="4"/>
      <c r="U10" s="4"/>
      <c r="V10" s="4"/>
      <c r="W10" s="4"/>
      <c r="X10" s="4"/>
      <c r="Y10" s="5"/>
    </row>
    <row r="11" ht="18" customHeight="1" spans="1:25">
      <c r="A11" s="3">
        <v>9</v>
      </c>
      <c r="B11" s="3">
        <v>10</v>
      </c>
      <c r="C11" s="3">
        <v>18</v>
      </c>
      <c r="D11" s="3">
        <v>13</v>
      </c>
      <c r="E11" s="3">
        <v>23</v>
      </c>
      <c r="F11" s="3">
        <v>22</v>
      </c>
      <c r="G11" s="3">
        <v>22</v>
      </c>
      <c r="H11" s="3">
        <v>16</v>
      </c>
      <c r="I11" s="3">
        <v>18</v>
      </c>
      <c r="L11">
        <f t="shared" si="0"/>
        <v>3</v>
      </c>
      <c r="M11">
        <f t="shared" si="1"/>
        <v>13</v>
      </c>
      <c r="N11">
        <f t="shared" si="2"/>
        <v>12</v>
      </c>
      <c r="O11">
        <f t="shared" si="3"/>
        <v>12</v>
      </c>
      <c r="P11">
        <f>$P$35+SUM($O$3:O11)</f>
        <v>1239</v>
      </c>
      <c r="Q11" s="4"/>
      <c r="R11" s="4"/>
      <c r="S11" s="4"/>
      <c r="T11" s="4"/>
      <c r="U11" s="4"/>
      <c r="V11" s="4"/>
      <c r="W11" s="4"/>
      <c r="X11" s="4"/>
      <c r="Y11" s="5"/>
    </row>
    <row r="12" ht="18" customHeight="1" spans="1:25">
      <c r="A12" s="3">
        <v>10</v>
      </c>
      <c r="B12" s="3">
        <v>8</v>
      </c>
      <c r="C12" s="3">
        <v>16</v>
      </c>
      <c r="D12" s="3">
        <v>17</v>
      </c>
      <c r="E12" s="3">
        <v>24</v>
      </c>
      <c r="F12" s="3">
        <v>20</v>
      </c>
      <c r="G12" s="3">
        <v>21</v>
      </c>
      <c r="H12" s="3">
        <v>15</v>
      </c>
      <c r="I12" s="3">
        <v>19</v>
      </c>
      <c r="K12">
        <f>MAX(0,MIN(C12,38)-10)</f>
        <v>6</v>
      </c>
      <c r="L12">
        <f t="shared" si="0"/>
        <v>7</v>
      </c>
      <c r="M12">
        <f t="shared" si="1"/>
        <v>14</v>
      </c>
      <c r="N12">
        <f t="shared" si="2"/>
        <v>10</v>
      </c>
      <c r="O12">
        <f t="shared" si="3"/>
        <v>11</v>
      </c>
      <c r="P12">
        <f>$P$35+SUM($O$3:O12)</f>
        <v>1250</v>
      </c>
      <c r="Q12" s="4"/>
      <c r="R12" s="4"/>
      <c r="S12" s="4"/>
      <c r="T12" s="4"/>
      <c r="U12" s="4"/>
      <c r="V12" s="4"/>
      <c r="W12" s="4"/>
      <c r="X12" s="4"/>
      <c r="Y12" s="5"/>
    </row>
    <row r="13" ht="18" customHeight="1" spans="1:25">
      <c r="A13" s="3">
        <v>11</v>
      </c>
      <c r="B13" s="3">
        <v>10</v>
      </c>
      <c r="C13" s="3">
        <v>10</v>
      </c>
      <c r="D13" s="3">
        <v>23</v>
      </c>
      <c r="E13" s="3">
        <v>24</v>
      </c>
      <c r="F13" s="3">
        <v>23</v>
      </c>
      <c r="G13" s="3">
        <v>20</v>
      </c>
      <c r="H13" s="3">
        <v>15</v>
      </c>
      <c r="I13" s="3">
        <v>16</v>
      </c>
      <c r="K13">
        <f>MAX(0,MIN(C13,38)-10)</f>
        <v>0</v>
      </c>
      <c r="L13">
        <f t="shared" si="0"/>
        <v>13</v>
      </c>
      <c r="M13">
        <f t="shared" si="1"/>
        <v>14</v>
      </c>
      <c r="N13">
        <f t="shared" si="2"/>
        <v>13</v>
      </c>
      <c r="O13">
        <f t="shared" si="3"/>
        <v>10</v>
      </c>
      <c r="P13">
        <f>$P$35+SUM($O$3:O13)</f>
        <v>1260</v>
      </c>
      <c r="Q13" s="4"/>
      <c r="R13" s="4"/>
      <c r="S13" s="4"/>
      <c r="T13" s="4"/>
      <c r="U13" s="4"/>
      <c r="V13" s="4"/>
      <c r="W13" s="4"/>
      <c r="X13" s="4"/>
      <c r="Y13" s="5"/>
    </row>
    <row r="14" ht="18" customHeight="1" spans="1:25">
      <c r="A14" s="3">
        <v>12</v>
      </c>
      <c r="B14" s="3">
        <v>11</v>
      </c>
      <c r="C14" s="3">
        <v>13</v>
      </c>
      <c r="D14" s="3">
        <v>15</v>
      </c>
      <c r="E14" s="3">
        <v>22</v>
      </c>
      <c r="F14" s="3">
        <v>23</v>
      </c>
      <c r="G14" s="3">
        <v>21</v>
      </c>
      <c r="H14" s="3">
        <v>18</v>
      </c>
      <c r="I14" s="3">
        <v>19</v>
      </c>
      <c r="K14">
        <f t="shared" ref="K14:K32" si="4">MAX(0,MIN(C14,38)-10)</f>
        <v>3</v>
      </c>
      <c r="L14">
        <f t="shared" si="0"/>
        <v>5</v>
      </c>
      <c r="M14">
        <f t="shared" si="1"/>
        <v>12</v>
      </c>
      <c r="N14">
        <f t="shared" si="2"/>
        <v>13</v>
      </c>
      <c r="O14">
        <f t="shared" si="3"/>
        <v>11</v>
      </c>
      <c r="P14">
        <f>$P$35+SUM($O$3:O14)</f>
        <v>1271</v>
      </c>
      <c r="Q14" s="4"/>
      <c r="R14" s="4"/>
      <c r="S14" s="4"/>
      <c r="T14" s="4"/>
      <c r="U14" s="4"/>
      <c r="V14" s="4"/>
      <c r="W14" s="4"/>
      <c r="X14" s="4"/>
      <c r="Y14" s="5"/>
    </row>
    <row r="15" ht="18" customHeight="1" spans="1:25">
      <c r="A15" s="3">
        <v>13</v>
      </c>
      <c r="B15" s="3">
        <v>11</v>
      </c>
      <c r="C15" s="3">
        <v>13</v>
      </c>
      <c r="D15" s="3">
        <v>23</v>
      </c>
      <c r="E15" s="3">
        <v>20</v>
      </c>
      <c r="F15" s="3">
        <v>24</v>
      </c>
      <c r="G15" s="3">
        <v>21</v>
      </c>
      <c r="H15" s="3">
        <v>18</v>
      </c>
      <c r="I15" s="3">
        <v>15</v>
      </c>
      <c r="K15">
        <f t="shared" si="4"/>
        <v>3</v>
      </c>
      <c r="L15">
        <f t="shared" si="0"/>
        <v>13</v>
      </c>
      <c r="M15">
        <f t="shared" si="1"/>
        <v>10</v>
      </c>
      <c r="N15">
        <f t="shared" si="2"/>
        <v>14</v>
      </c>
      <c r="O15">
        <f t="shared" si="3"/>
        <v>11</v>
      </c>
      <c r="P15">
        <f>$P$35+SUM($O$3:O15)</f>
        <v>1282</v>
      </c>
      <c r="Q15" s="5"/>
      <c r="R15" s="5"/>
      <c r="S15" s="5"/>
      <c r="T15" s="5"/>
      <c r="U15" s="5"/>
      <c r="V15" s="5"/>
      <c r="W15" s="5"/>
      <c r="X15" s="5"/>
      <c r="Y15" s="5"/>
    </row>
    <row r="16" ht="18" customHeight="1" spans="1:25">
      <c r="A16" s="3">
        <v>14</v>
      </c>
      <c r="B16" s="3">
        <v>9</v>
      </c>
      <c r="C16" s="3">
        <v>10</v>
      </c>
      <c r="D16" s="3">
        <v>16</v>
      </c>
      <c r="E16" s="3">
        <v>23</v>
      </c>
      <c r="F16" s="3">
        <v>20</v>
      </c>
      <c r="G16" s="3">
        <v>20</v>
      </c>
      <c r="H16" s="3">
        <v>15</v>
      </c>
      <c r="I16" s="3">
        <v>20</v>
      </c>
      <c r="K16">
        <f t="shared" si="4"/>
        <v>0</v>
      </c>
      <c r="L16">
        <f t="shared" si="0"/>
        <v>6</v>
      </c>
      <c r="M16">
        <f t="shared" si="1"/>
        <v>13</v>
      </c>
      <c r="N16">
        <f t="shared" si="2"/>
        <v>10</v>
      </c>
      <c r="O16">
        <f t="shared" si="3"/>
        <v>10</v>
      </c>
      <c r="P16">
        <f>$P$35+SUM($O$3:O16)</f>
        <v>1292</v>
      </c>
      <c r="Q16" s="5"/>
      <c r="R16" s="5"/>
      <c r="S16" s="5"/>
      <c r="T16" s="5"/>
      <c r="U16" s="5"/>
      <c r="V16" s="5"/>
      <c r="W16" s="5"/>
      <c r="X16" s="5"/>
      <c r="Y16" s="5"/>
    </row>
    <row r="17" ht="18" customHeight="1" spans="1:19">
      <c r="A17" s="3">
        <v>15</v>
      </c>
      <c r="B17" s="3">
        <v>11</v>
      </c>
      <c r="C17" s="3">
        <v>19</v>
      </c>
      <c r="D17" s="3">
        <v>13</v>
      </c>
      <c r="E17" s="3">
        <v>25</v>
      </c>
      <c r="F17" s="3">
        <v>25</v>
      </c>
      <c r="G17" s="3">
        <v>21</v>
      </c>
      <c r="H17" s="3">
        <v>15</v>
      </c>
      <c r="I17" s="3">
        <v>19</v>
      </c>
      <c r="K17">
        <f t="shared" si="4"/>
        <v>9</v>
      </c>
      <c r="L17">
        <f t="shared" si="0"/>
        <v>3</v>
      </c>
      <c r="M17">
        <f t="shared" si="1"/>
        <v>15</v>
      </c>
      <c r="N17">
        <f t="shared" si="2"/>
        <v>15</v>
      </c>
      <c r="O17">
        <f t="shared" si="3"/>
        <v>11</v>
      </c>
      <c r="P17">
        <f>$P$35+SUM($O$3:O17)</f>
        <v>1303</v>
      </c>
    </row>
    <row r="18" ht="18" customHeight="1" spans="1:19">
      <c r="A18" s="3">
        <v>16</v>
      </c>
      <c r="B18" s="3">
        <v>8</v>
      </c>
      <c r="C18" s="3">
        <v>12</v>
      </c>
      <c r="D18" s="3">
        <v>19</v>
      </c>
      <c r="E18" s="3">
        <v>24</v>
      </c>
      <c r="F18" s="3">
        <v>20</v>
      </c>
      <c r="G18" s="3">
        <v>23</v>
      </c>
      <c r="H18" s="3">
        <v>20</v>
      </c>
      <c r="I18" s="3">
        <v>18</v>
      </c>
      <c r="K18">
        <f t="shared" si="4"/>
        <v>2</v>
      </c>
      <c r="L18">
        <f t="shared" si="0"/>
        <v>9</v>
      </c>
      <c r="M18">
        <f t="shared" si="1"/>
        <v>14</v>
      </c>
      <c r="N18">
        <f t="shared" si="2"/>
        <v>10</v>
      </c>
      <c r="O18">
        <f t="shared" si="3"/>
        <v>13</v>
      </c>
      <c r="P18">
        <f>$P$35+SUM($O$3:O18)</f>
        <v>1316</v>
      </c>
    </row>
    <row r="19" ht="18" customHeight="1" spans="1:19">
      <c r="A19" s="3">
        <v>17</v>
      </c>
      <c r="B19" s="3">
        <v>10</v>
      </c>
      <c r="C19" s="3">
        <v>13</v>
      </c>
      <c r="D19" s="3">
        <v>14</v>
      </c>
      <c r="E19" s="3">
        <v>22</v>
      </c>
      <c r="F19" s="3">
        <v>21</v>
      </c>
      <c r="G19" s="3">
        <v>20</v>
      </c>
      <c r="H19" s="3">
        <v>16</v>
      </c>
      <c r="I19" s="3">
        <v>20</v>
      </c>
      <c r="K19">
        <f t="shared" si="4"/>
        <v>3</v>
      </c>
      <c r="L19">
        <f t="shared" si="0"/>
        <v>4</v>
      </c>
      <c r="M19">
        <f t="shared" si="1"/>
        <v>12</v>
      </c>
      <c r="N19">
        <f t="shared" si="2"/>
        <v>11</v>
      </c>
      <c r="O19">
        <f t="shared" si="3"/>
        <v>10</v>
      </c>
      <c r="P19">
        <f>$P$35+SUM($O$3:O19)</f>
        <v>1326</v>
      </c>
    </row>
    <row r="20" ht="18" customHeight="1" spans="1:19">
      <c r="A20" s="3">
        <v>18</v>
      </c>
      <c r="B20" s="3">
        <v>8</v>
      </c>
      <c r="C20" s="3">
        <v>18</v>
      </c>
      <c r="D20" s="3">
        <v>16</v>
      </c>
      <c r="E20" s="3">
        <v>21</v>
      </c>
      <c r="F20" s="3">
        <v>25</v>
      </c>
      <c r="G20" s="3">
        <v>24</v>
      </c>
      <c r="H20" s="3">
        <v>20</v>
      </c>
      <c r="I20" s="3">
        <v>19</v>
      </c>
      <c r="K20">
        <f t="shared" si="4"/>
        <v>8</v>
      </c>
      <c r="L20">
        <f t="shared" si="0"/>
        <v>6</v>
      </c>
      <c r="M20">
        <f t="shared" si="1"/>
        <v>11</v>
      </c>
      <c r="N20">
        <f t="shared" si="2"/>
        <v>15</v>
      </c>
      <c r="O20">
        <f t="shared" si="3"/>
        <v>14</v>
      </c>
      <c r="P20">
        <f>$P$35+SUM($O$3:O20)</f>
        <v>1340</v>
      </c>
      <c r="Q20" t="s">
        <v>18</v>
      </c>
    </row>
    <row r="21" ht="18" customHeight="1" spans="1:19">
      <c r="A21" s="3">
        <v>19</v>
      </c>
      <c r="B21" s="3">
        <v>11</v>
      </c>
      <c r="C21" s="3">
        <v>14</v>
      </c>
      <c r="D21" s="3">
        <v>25</v>
      </c>
      <c r="E21" s="3">
        <v>24</v>
      </c>
      <c r="F21" s="3">
        <v>23</v>
      </c>
      <c r="G21" s="3">
        <v>24</v>
      </c>
      <c r="H21" s="3">
        <v>15</v>
      </c>
      <c r="I21" s="3">
        <v>15</v>
      </c>
      <c r="K21">
        <f t="shared" si="4"/>
        <v>4</v>
      </c>
      <c r="L21">
        <f t="shared" si="0"/>
        <v>15</v>
      </c>
      <c r="M21">
        <f t="shared" si="1"/>
        <v>14</v>
      </c>
      <c r="N21">
        <f t="shared" si="2"/>
        <v>13</v>
      </c>
      <c r="O21">
        <f t="shared" si="3"/>
        <v>14</v>
      </c>
      <c r="P21">
        <f>$P$35+SUM($O$3:O21)</f>
        <v>1354</v>
      </c>
      <c r="Q21" s="4" t="s">
        <v>19</v>
      </c>
      <c r="R21" s="4"/>
      <c r="S21" s="4"/>
    </row>
    <row r="22" ht="18" customHeight="1" spans="1:19">
      <c r="A22" s="3">
        <v>20</v>
      </c>
      <c r="B22" s="3">
        <v>10</v>
      </c>
      <c r="C22" s="3">
        <v>14</v>
      </c>
      <c r="D22" s="3">
        <v>22</v>
      </c>
      <c r="E22" s="3">
        <v>20</v>
      </c>
      <c r="F22" s="3">
        <v>21</v>
      </c>
      <c r="G22" s="3">
        <v>20</v>
      </c>
      <c r="H22" s="3">
        <v>15</v>
      </c>
      <c r="I22" s="3">
        <v>20</v>
      </c>
      <c r="K22">
        <f t="shared" si="4"/>
        <v>4</v>
      </c>
      <c r="L22">
        <f t="shared" si="0"/>
        <v>12</v>
      </c>
      <c r="M22">
        <f t="shared" si="1"/>
        <v>10</v>
      </c>
      <c r="N22">
        <f t="shared" ref="N22:N33" si="5">MAX(0,MIN(F22,38)-10)</f>
        <v>11</v>
      </c>
      <c r="O22">
        <f t="shared" si="3"/>
        <v>10</v>
      </c>
      <c r="P22">
        <f>$P$35+SUM($O$3:O22)</f>
        <v>1364</v>
      </c>
      <c r="Q22" s="4"/>
      <c r="R22" s="4"/>
      <c r="S22" s="4"/>
    </row>
    <row r="23" ht="18" customHeight="1" spans="1:19">
      <c r="A23" s="3">
        <v>21</v>
      </c>
      <c r="B23" s="3">
        <v>11</v>
      </c>
      <c r="C23" s="3">
        <v>19</v>
      </c>
      <c r="D23" s="3">
        <v>22</v>
      </c>
      <c r="E23" s="3">
        <v>23</v>
      </c>
      <c r="F23" s="3">
        <v>21</v>
      </c>
      <c r="G23" s="3">
        <v>22</v>
      </c>
      <c r="H23" s="3">
        <v>16</v>
      </c>
      <c r="I23" s="3">
        <v>16</v>
      </c>
      <c r="K23">
        <f t="shared" si="4"/>
        <v>9</v>
      </c>
      <c r="L23">
        <f t="shared" si="0"/>
        <v>12</v>
      </c>
      <c r="M23">
        <f t="shared" si="1"/>
        <v>13</v>
      </c>
      <c r="N23">
        <f t="shared" si="5"/>
        <v>11</v>
      </c>
      <c r="O23">
        <f t="shared" si="3"/>
        <v>12</v>
      </c>
      <c r="P23">
        <f>$P$35+SUM($O$3:O23)</f>
        <v>1376</v>
      </c>
      <c r="Q23" s="4"/>
      <c r="R23" s="4"/>
      <c r="S23" s="4"/>
    </row>
    <row r="24" ht="18" customHeight="1" spans="1:19">
      <c r="A24" s="3">
        <v>22</v>
      </c>
      <c r="B24" s="3">
        <v>8</v>
      </c>
      <c r="C24" s="3">
        <v>12</v>
      </c>
      <c r="D24" s="3">
        <v>20</v>
      </c>
      <c r="E24" s="3">
        <v>22</v>
      </c>
      <c r="F24" s="3">
        <v>25</v>
      </c>
      <c r="G24" s="3">
        <v>20</v>
      </c>
      <c r="H24" s="3">
        <v>20</v>
      </c>
      <c r="I24" s="3">
        <v>19</v>
      </c>
      <c r="K24">
        <f t="shared" si="4"/>
        <v>2</v>
      </c>
      <c r="L24">
        <f t="shared" si="0"/>
        <v>10</v>
      </c>
      <c r="M24">
        <f t="shared" si="1"/>
        <v>12</v>
      </c>
      <c r="N24">
        <f t="shared" si="5"/>
        <v>15</v>
      </c>
      <c r="O24">
        <f t="shared" si="3"/>
        <v>10</v>
      </c>
      <c r="P24">
        <f>$P$35+SUM($O$3:O24)</f>
        <v>1386</v>
      </c>
      <c r="Q24" s="4"/>
      <c r="R24" s="4"/>
      <c r="S24" s="4"/>
    </row>
    <row r="25" ht="18" customHeight="1" spans="1:19">
      <c r="A25" s="3">
        <v>23</v>
      </c>
      <c r="B25" s="3">
        <v>11</v>
      </c>
      <c r="C25" s="3">
        <v>15</v>
      </c>
      <c r="D25" s="3">
        <v>13</v>
      </c>
      <c r="E25" s="3">
        <v>24</v>
      </c>
      <c r="F25" s="3">
        <v>21</v>
      </c>
      <c r="G25" s="3">
        <v>20</v>
      </c>
      <c r="H25" s="3">
        <v>17</v>
      </c>
      <c r="I25" s="3">
        <v>18</v>
      </c>
      <c r="K25">
        <f t="shared" si="4"/>
        <v>5</v>
      </c>
      <c r="L25">
        <f t="shared" si="0"/>
        <v>3</v>
      </c>
      <c r="M25">
        <f t="shared" si="1"/>
        <v>14</v>
      </c>
      <c r="N25">
        <f t="shared" si="5"/>
        <v>11</v>
      </c>
      <c r="O25">
        <f t="shared" si="3"/>
        <v>10</v>
      </c>
      <c r="P25">
        <f>$P$35+SUM($O$3:O25)</f>
        <v>1396</v>
      </c>
      <c r="Q25" s="4"/>
      <c r="R25" s="4"/>
      <c r="S25" s="4"/>
    </row>
    <row r="26" ht="18" customHeight="1" spans="1:19">
      <c r="A26" s="3">
        <v>24</v>
      </c>
      <c r="B26" s="3">
        <v>8</v>
      </c>
      <c r="C26" s="3">
        <v>20</v>
      </c>
      <c r="D26" s="3">
        <v>15</v>
      </c>
      <c r="E26" s="3">
        <v>25</v>
      </c>
      <c r="F26" s="3">
        <v>20</v>
      </c>
      <c r="G26" s="3">
        <v>21</v>
      </c>
      <c r="H26" s="3">
        <v>19</v>
      </c>
      <c r="I26" s="3">
        <v>17</v>
      </c>
      <c r="K26">
        <f t="shared" si="4"/>
        <v>10</v>
      </c>
      <c r="L26">
        <f t="shared" si="0"/>
        <v>5</v>
      </c>
      <c r="M26">
        <f t="shared" si="1"/>
        <v>15</v>
      </c>
      <c r="N26">
        <f t="shared" si="5"/>
        <v>10</v>
      </c>
      <c r="O26">
        <f t="shared" si="3"/>
        <v>11</v>
      </c>
      <c r="P26">
        <f>$P$35+SUM($O$3:O26)</f>
        <v>1407</v>
      </c>
      <c r="Q26" s="4"/>
      <c r="R26" s="4"/>
      <c r="S26" s="4"/>
    </row>
    <row r="27" ht="18" customHeight="1" spans="1:19">
      <c r="A27" s="3">
        <v>25</v>
      </c>
      <c r="B27" s="3">
        <v>8</v>
      </c>
      <c r="C27" s="3">
        <v>10</v>
      </c>
      <c r="D27" s="3">
        <v>15</v>
      </c>
      <c r="E27" s="3">
        <v>25</v>
      </c>
      <c r="F27" s="3">
        <v>24</v>
      </c>
      <c r="G27" s="3">
        <v>20</v>
      </c>
      <c r="H27" s="3">
        <v>19</v>
      </c>
      <c r="I27" s="3">
        <v>19</v>
      </c>
      <c r="K27">
        <f t="shared" si="4"/>
        <v>0</v>
      </c>
      <c r="L27">
        <f t="shared" si="0"/>
        <v>5</v>
      </c>
      <c r="M27">
        <f t="shared" si="1"/>
        <v>15</v>
      </c>
      <c r="N27">
        <f t="shared" si="5"/>
        <v>14</v>
      </c>
      <c r="O27">
        <f t="shared" si="3"/>
        <v>10</v>
      </c>
      <c r="P27">
        <f>$P$35+SUM($O$3:O27)</f>
        <v>1417</v>
      </c>
      <c r="Q27" s="4"/>
      <c r="R27" s="4"/>
      <c r="S27" s="4"/>
    </row>
    <row r="28" ht="18" customHeight="1" spans="1:19">
      <c r="A28" s="3">
        <v>26</v>
      </c>
      <c r="B28" s="3">
        <v>10</v>
      </c>
      <c r="C28" s="3">
        <v>16</v>
      </c>
      <c r="D28" s="3">
        <v>25</v>
      </c>
      <c r="E28" s="3">
        <v>23</v>
      </c>
      <c r="F28" s="3">
        <v>20</v>
      </c>
      <c r="G28" s="3">
        <v>22</v>
      </c>
      <c r="H28" s="3">
        <v>19</v>
      </c>
      <c r="I28" s="3">
        <v>18</v>
      </c>
      <c r="K28">
        <f t="shared" si="4"/>
        <v>6</v>
      </c>
      <c r="L28">
        <f t="shared" si="0"/>
        <v>15</v>
      </c>
      <c r="M28">
        <f t="shared" si="1"/>
        <v>13</v>
      </c>
      <c r="N28">
        <f t="shared" si="5"/>
        <v>10</v>
      </c>
      <c r="O28">
        <f t="shared" si="3"/>
        <v>12</v>
      </c>
      <c r="P28">
        <f>$P$35+SUM($O$3:O28)</f>
        <v>1429</v>
      </c>
      <c r="Q28" s="4"/>
      <c r="R28" s="4"/>
      <c r="S28" s="4"/>
    </row>
    <row r="29" ht="18" customHeight="1" spans="1:19">
      <c r="A29" s="3">
        <v>27</v>
      </c>
      <c r="B29" s="3">
        <v>7</v>
      </c>
      <c r="C29" s="3">
        <v>15</v>
      </c>
      <c r="D29" s="3">
        <v>16</v>
      </c>
      <c r="E29" s="3">
        <v>21</v>
      </c>
      <c r="F29" s="3">
        <v>23</v>
      </c>
      <c r="G29" s="3">
        <v>20</v>
      </c>
      <c r="H29" s="3">
        <v>17</v>
      </c>
      <c r="I29" s="3">
        <v>18</v>
      </c>
      <c r="K29">
        <f t="shared" si="4"/>
        <v>5</v>
      </c>
      <c r="L29">
        <f t="shared" si="0"/>
        <v>6</v>
      </c>
      <c r="M29">
        <f t="shared" si="1"/>
        <v>11</v>
      </c>
      <c r="N29">
        <f t="shared" si="5"/>
        <v>13</v>
      </c>
      <c r="O29">
        <f t="shared" si="3"/>
        <v>10</v>
      </c>
      <c r="P29">
        <f>$P$35+SUM($O$3:O29)</f>
        <v>1439</v>
      </c>
    </row>
    <row r="30" ht="18" customHeight="1" spans="1:19">
      <c r="A30" s="3">
        <v>28</v>
      </c>
      <c r="B30" s="3">
        <v>7</v>
      </c>
      <c r="C30" s="3">
        <v>16</v>
      </c>
      <c r="D30" s="3">
        <v>19</v>
      </c>
      <c r="E30" s="3">
        <v>23</v>
      </c>
      <c r="F30" s="3">
        <v>22</v>
      </c>
      <c r="G30" s="3">
        <v>20</v>
      </c>
      <c r="H30" s="3">
        <v>20</v>
      </c>
      <c r="I30" s="3">
        <v>20</v>
      </c>
      <c r="K30">
        <f t="shared" si="4"/>
        <v>6</v>
      </c>
      <c r="L30">
        <f t="shared" si="0"/>
        <v>9</v>
      </c>
      <c r="M30">
        <f t="shared" si="1"/>
        <v>13</v>
      </c>
      <c r="N30">
        <f t="shared" si="5"/>
        <v>12</v>
      </c>
      <c r="O30">
        <f t="shared" si="3"/>
        <v>10</v>
      </c>
      <c r="P30">
        <f>$P$35+SUM($O$3:O30)</f>
        <v>1449</v>
      </c>
    </row>
    <row r="31" ht="18" customHeight="1" spans="1:19">
      <c r="A31" s="3">
        <v>29</v>
      </c>
      <c r="B31" s="3">
        <v>10</v>
      </c>
      <c r="C31" s="3">
        <v>17</v>
      </c>
      <c r="D31" s="3">
        <v>18</v>
      </c>
      <c r="E31" s="3">
        <v>20</v>
      </c>
      <c r="F31" s="3">
        <v>23</v>
      </c>
      <c r="G31" s="3">
        <v>23</v>
      </c>
      <c r="H31" s="3">
        <v>17</v>
      </c>
      <c r="I31" s="3">
        <v>20</v>
      </c>
      <c r="K31">
        <f t="shared" si="4"/>
        <v>7</v>
      </c>
      <c r="L31">
        <f t="shared" si="0"/>
        <v>8</v>
      </c>
      <c r="M31">
        <f t="shared" si="1"/>
        <v>10</v>
      </c>
      <c r="N31">
        <f t="shared" si="5"/>
        <v>13</v>
      </c>
      <c r="O31">
        <f t="shared" si="3"/>
        <v>13</v>
      </c>
      <c r="P31">
        <f>$P$35+SUM($O$3:O31)</f>
        <v>1462</v>
      </c>
    </row>
    <row r="32" ht="18" customHeight="1" spans="1:19">
      <c r="A32" s="3">
        <v>30</v>
      </c>
      <c r="B32" s="3">
        <v>7</v>
      </c>
      <c r="C32" s="3">
        <v>17</v>
      </c>
      <c r="D32" s="3">
        <v>17</v>
      </c>
      <c r="E32" s="3">
        <v>21</v>
      </c>
      <c r="F32" s="3">
        <v>21</v>
      </c>
      <c r="G32" s="3">
        <v>23</v>
      </c>
      <c r="H32" s="3">
        <v>17</v>
      </c>
      <c r="I32" s="3">
        <v>17</v>
      </c>
      <c r="K32">
        <f t="shared" si="4"/>
        <v>7</v>
      </c>
      <c r="L32">
        <f t="shared" si="0"/>
        <v>7</v>
      </c>
      <c r="M32">
        <f t="shared" si="1"/>
        <v>11</v>
      </c>
      <c r="N32">
        <f t="shared" si="5"/>
        <v>11</v>
      </c>
      <c r="O32">
        <f t="shared" si="3"/>
        <v>13</v>
      </c>
      <c r="P32">
        <f>$P$35+SUM($O$3:O32)</f>
        <v>1475</v>
      </c>
    </row>
    <row r="33" ht="18" customHeight="1" spans="1:16">
      <c r="A33" s="3">
        <v>31</v>
      </c>
      <c r="B33" s="3">
        <v>8</v>
      </c>
      <c r="C33" s="6"/>
      <c r="D33" s="3">
        <v>15</v>
      </c>
      <c r="E33" s="6"/>
      <c r="F33" s="3">
        <v>20</v>
      </c>
      <c r="G33" s="3">
        <v>22</v>
      </c>
      <c r="H33" s="6"/>
      <c r="I33" s="3">
        <v>18</v>
      </c>
      <c r="L33">
        <f t="shared" si="0"/>
        <v>5</v>
      </c>
      <c r="N33">
        <f t="shared" si="5"/>
        <v>10</v>
      </c>
      <c r="O33">
        <f t="shared" si="3"/>
        <v>12</v>
      </c>
      <c r="P33">
        <f>$P$35+SUM($O$3:O33)</f>
        <v>1487</v>
      </c>
    </row>
    <row r="35" spans="1:16">
      <c r="K35">
        <f>SUM(K12:K32)</f>
        <v>99</v>
      </c>
      <c r="L35">
        <f>SUM(L3:L33)</f>
        <v>260</v>
      </c>
      <c r="M35">
        <f>SUM(M3:M33)</f>
        <v>376</v>
      </c>
      <c r="N35">
        <f>SUM(N3:N33)</f>
        <v>384</v>
      </c>
      <c r="P35">
        <f>SUM(K35:N35)</f>
        <v>1119</v>
      </c>
    </row>
  </sheetData>
  <mergeCells count="3">
    <mergeCell ref="A1:I1"/>
    <mergeCell ref="Q21:S28"/>
    <mergeCell ref="Q4:Y16"/>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Word Microsoft 365 için</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Kemal  GÜNDOĞDU</dc:creator>
  <cp:lastModifiedBy>zorgülgiller</cp:lastModifiedBy>
  <dcterms:created xsi:type="dcterms:W3CDTF">2026-10-26T16:20:00Z</dcterms:created>
  <dcterms:modified xsi:type="dcterms:W3CDTF">2026-10-28T07:10:45Z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wqlLaW5nc29mdCBQREYgdG8gV1BTIDEyMA</vt:lpwstr>
  </property>
  <property fmtid="{D5CDD505-2E9C-101B-9397-08002B2CF9AE}" pid="3" name="Created">
    <vt:filetime>2026-10-28T06:18:42Z</vt:filetime>
  </property>
  <property fmtid="{D5CDD505-2E9C-101B-9397-08002B2CF9AE}" pid="4" name="ICV">
    <vt:lpwstr>1F054FDFD37949648C97009D4558941F_13</vt:lpwstr>
  </property>
  <property fmtid="{D5CDD505-2E9C-101B-9397-08002B2CF9AE}" pid="5" name="KSOProductBuildVer">
    <vt:lpwstr>1055-12.1.0.29162</vt:lpwstr>
  </property>
  <property fmtid="{D5CDD505-2E9C-101B-9397-08002B2CF9AE}" pid="6" name="CalculationRule">
    <vt:i4>0</vt:i4>
  </property>
</Properties>
</file>